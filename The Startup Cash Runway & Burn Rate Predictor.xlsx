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139bf3aee1acc97d/Pictures/Documents/"/>
    </mc:Choice>
  </mc:AlternateContent>
  <xr:revisionPtr revIDLastSave="0" documentId="8_{E7DA43FF-E1D7-4C90-80BF-7DB13E22266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river Inputs" sheetId="1" r:id="rId1"/>
    <sheet name="Financial Forecast" sheetId="2" r:id="rId2"/>
    <sheet name="Dashboard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3" l="1"/>
  <c r="B3" i="3"/>
  <c r="C7" i="2"/>
  <c r="D7" i="2"/>
  <c r="E7" i="2"/>
  <c r="F7" i="2"/>
  <c r="G7" i="2"/>
  <c r="H7" i="2"/>
  <c r="I7" i="2"/>
  <c r="J7" i="2"/>
  <c r="K7" i="2"/>
  <c r="L7" i="2"/>
  <c r="M7" i="2"/>
  <c r="C8" i="2"/>
  <c r="D8" i="2"/>
  <c r="E8" i="2"/>
  <c r="F8" i="2"/>
  <c r="G8" i="2"/>
  <c r="H8" i="2"/>
  <c r="I8" i="2"/>
  <c r="J8" i="2"/>
  <c r="K8" i="2"/>
  <c r="L8" i="2"/>
  <c r="M8" i="2"/>
  <c r="B8" i="2"/>
  <c r="B7" i="2"/>
  <c r="D11" i="2"/>
  <c r="E11" i="2"/>
  <c r="F11" i="2"/>
  <c r="G11" i="2"/>
  <c r="H11" i="2"/>
  <c r="I11" i="2"/>
  <c r="J11" i="2"/>
  <c r="K11" i="2"/>
  <c r="L11" i="2"/>
  <c r="M11" i="2"/>
  <c r="D12" i="2"/>
  <c r="E12" i="2"/>
  <c r="F12" i="2"/>
  <c r="G12" i="2"/>
  <c r="H12" i="2"/>
  <c r="I12" i="2"/>
  <c r="J12" i="2"/>
  <c r="K12" i="2"/>
  <c r="L12" i="2"/>
  <c r="M12" i="2"/>
  <c r="C11" i="2"/>
  <c r="C12" i="2" s="1"/>
  <c r="B11" i="2"/>
  <c r="B12" i="2" s="1"/>
  <c r="B4" i="2"/>
  <c r="B13" i="2" l="1"/>
  <c r="C4" i="2" s="1"/>
  <c r="B14" i="2"/>
  <c r="C14" i="2"/>
  <c r="C13" i="2"/>
  <c r="D4" i="2" s="1"/>
  <c r="D14" i="2" l="1"/>
  <c r="D13" i="2"/>
  <c r="E4" i="2" s="1"/>
  <c r="E14" i="2" l="1"/>
  <c r="E13" i="2"/>
  <c r="F4" i="2" s="1"/>
  <c r="F14" i="2" l="1"/>
  <c r="F13" i="2"/>
  <c r="G4" i="2" s="1"/>
  <c r="G14" i="2" l="1"/>
  <c r="G13" i="2"/>
  <c r="H4" i="2" s="1"/>
  <c r="H14" i="2" l="1"/>
  <c r="H13" i="2"/>
  <c r="I4" i="2" s="1"/>
  <c r="I14" i="2" l="1"/>
  <c r="I13" i="2"/>
  <c r="J4" i="2" s="1"/>
  <c r="J14" i="2" l="1"/>
  <c r="J13" i="2"/>
  <c r="K4" i="2" s="1"/>
  <c r="K14" i="2" l="1"/>
  <c r="K13" i="2"/>
  <c r="L4" i="2" s="1"/>
  <c r="L14" i="2" l="1"/>
  <c r="L13" i="2"/>
  <c r="M4" i="2" s="1"/>
  <c r="M14" i="2" l="1"/>
  <c r="M13" i="2"/>
</calcChain>
</file>

<file path=xl/sharedStrings.xml><?xml version="1.0" encoding="utf-8"?>
<sst xmlns="http://schemas.openxmlformats.org/spreadsheetml/2006/main" count="36" uniqueCount="35">
  <si>
    <t>Startup Financial Model - General Inputs</t>
  </si>
  <si>
    <t>Starting Cash Balance</t>
  </si>
  <si>
    <t>Monthly Salary per Engineer</t>
  </si>
  <si>
    <t>Marketing Multiplier</t>
  </si>
  <si>
    <t>Financial Timeline</t>
  </si>
  <si>
    <t>Month 1</t>
  </si>
  <si>
    <t>Month 2</t>
  </si>
  <si>
    <t>Month 3</t>
  </si>
  <si>
    <t>Month 4</t>
  </si>
  <si>
    <t>Month 5</t>
  </si>
  <si>
    <t>Month 6</t>
  </si>
  <si>
    <t>Month 7</t>
  </si>
  <si>
    <t>Month 8</t>
  </si>
  <si>
    <t>Month 9</t>
  </si>
  <si>
    <t>Month 10</t>
  </si>
  <si>
    <t>Month 11</t>
  </si>
  <si>
    <t>Month 12</t>
  </si>
  <si>
    <t>Beginning Cash Balance</t>
  </si>
  <si>
    <t>Total Revenue</t>
  </si>
  <si>
    <t>Expenses:</t>
  </si>
  <si>
    <t>Salaries</t>
  </si>
  <si>
    <t>Marketing</t>
  </si>
  <si>
    <t>Tech Stack</t>
  </si>
  <si>
    <t>Rent &amp; Admin</t>
  </si>
  <si>
    <t>Gross Burn</t>
  </si>
  <si>
    <t>Net Burn</t>
  </si>
  <si>
    <t>Ending Cash Balance</t>
  </si>
  <si>
    <t>Runway (Months)</t>
  </si>
  <si>
    <t>CURRENT RUNWAY (MONTHS)</t>
  </si>
  <si>
    <t>Select Active Scenario:</t>
  </si>
  <si>
    <t>Double Marketing</t>
  </si>
  <si>
    <t>Hire 2 Engineers</t>
  </si>
  <si>
    <t>STARTUP CASH RUNWAY &amp; BURN RATE PREDICTOR</t>
  </si>
  <si>
    <t>CURRENT CASH BALANCE</t>
  </si>
  <si>
    <t>AVG. MONTHLY NET BURN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</si>
</sst>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"/>
  </numFmts>
  <fonts count="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1F1F1F"/>
      <name val="Arial"/>
      <family val="2"/>
    </font>
    <font>
      <sz val="10"/>
      <color theme="1"/>
      <name val="Arial Unicode MS"/>
    </font>
    <font>
      <sz val="8"/>
      <name val="Calibri"/>
      <family val="2"/>
      <scheme val="minor"/>
    </font>
    <font>
      <sz val="16"/>
      <color theme="1"/>
      <name val="Calibri"/>
      <family val="2"/>
      <scheme val="minor"/>
    </font>
    <font>
      <b/>
      <u/>
      <sz val="18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</cellStyleXfs>
  <cellXfs count="12">
    <xf numFmtId="0" fontId="0" fillId="0" borderId="0" xfId="0"/>
    <xf numFmtId="0" fontId="2" fillId="0" borderId="0" xfId="0" applyFont="1"/>
    <xf numFmtId="164" fontId="0" fillId="0" borderId="0" xfId="0" applyNumberFormat="1"/>
    <xf numFmtId="0" fontId="3" fillId="0" borderId="0" xfId="0" applyFont="1" applyAlignment="1">
      <alignment horizontal="center"/>
    </xf>
    <xf numFmtId="0" fontId="5" fillId="0" borderId="0" xfId="0" applyFont="1"/>
    <xf numFmtId="0" fontId="6" fillId="0" borderId="0" xfId="0" applyFont="1"/>
    <xf numFmtId="0" fontId="1" fillId="2" borderId="0" xfId="1"/>
    <xf numFmtId="0" fontId="1" fillId="3" borderId="0" xfId="2"/>
    <xf numFmtId="0" fontId="1" fillId="4" borderId="0" xfId="3"/>
    <xf numFmtId="0" fontId="1" fillId="5" borderId="0" xfId="4"/>
    <xf numFmtId="0" fontId="1" fillId="6" borderId="0" xfId="5"/>
    <xf numFmtId="0" fontId="1" fillId="7" borderId="0" xfId="6"/>
  </cellXfs>
  <cellStyles count="7">
    <cellStyle name="20% - Accent2" xfId="1" builtinId="34"/>
    <cellStyle name="20% - Accent4" xfId="3" builtinId="42"/>
    <cellStyle name="20% - Accent5" xfId="5" builtinId="46"/>
    <cellStyle name="40% - Accent2" xfId="2" builtinId="35"/>
    <cellStyle name="40% - Accent4" xfId="4" builtinId="43"/>
    <cellStyle name="40% - Accent5" xfId="6" builtinId="47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12-Month Cash Decline Outline</a:t>
            </a:r>
            <a:endParaRPr lang="en-IN"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>
        <c:manualLayout>
          <c:layoutTarget val="inner"/>
          <c:xMode val="edge"/>
          <c:yMode val="edge"/>
          <c:x val="0.12002537182852144"/>
          <c:y val="0.17171296296296298"/>
          <c:w val="0.85219685039370074"/>
          <c:h val="0.61498432487605714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'Financial Forecast'!$A$3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B3-4825-A91C-C8EF263670CB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'Financial Forecast'!$A$3:$M$3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BB3-4825-A91C-C8EF263670CB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'Financial Forecast'!$A$13:$M$13</c:f>
              <c:numCache>
                <c:formatCode>General</c:formatCode>
                <c:ptCount val="13"/>
                <c:pt idx="0">
                  <c:v>0</c:v>
                </c:pt>
                <c:pt idx="1">
                  <c:v>480000</c:v>
                </c:pt>
                <c:pt idx="2">
                  <c:v>460000</c:v>
                </c:pt>
                <c:pt idx="3">
                  <c:v>440000</c:v>
                </c:pt>
                <c:pt idx="4">
                  <c:v>420000</c:v>
                </c:pt>
                <c:pt idx="5">
                  <c:v>400000</c:v>
                </c:pt>
                <c:pt idx="6">
                  <c:v>380000</c:v>
                </c:pt>
                <c:pt idx="7">
                  <c:v>360000</c:v>
                </c:pt>
                <c:pt idx="8">
                  <c:v>340000</c:v>
                </c:pt>
                <c:pt idx="9">
                  <c:v>320000</c:v>
                </c:pt>
                <c:pt idx="10">
                  <c:v>300000</c:v>
                </c:pt>
                <c:pt idx="11">
                  <c:v>280000</c:v>
                </c:pt>
                <c:pt idx="12">
                  <c:v>260000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BB3-4825-A91C-C8EF263670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26998960"/>
        <c:axId val="1235064656"/>
      </c:lineChart>
      <c:catAx>
        <c:axId val="172699896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5064656"/>
        <c:crosses val="autoZero"/>
        <c:auto val="1"/>
        <c:lblAlgn val="ctr"/>
        <c:lblOffset val="100"/>
        <c:noMultiLvlLbl val="0"/>
      </c:catAx>
      <c:valAx>
        <c:axId val="1235064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6998960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7</xdr:row>
      <xdr:rowOff>142875</xdr:rowOff>
    </xdr:from>
    <xdr:to>
      <xdr:col>6</xdr:col>
      <xdr:colOff>295275</xdr:colOff>
      <xdr:row>22</xdr:row>
      <xdr:rowOff>28575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8AC5EBD-9169-46F5-9C2E-577658D0C8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showGridLines="0" tabSelected="1" workbookViewId="0">
      <selection activeCell="C9" sqref="C9"/>
    </sheetView>
  </sheetViews>
  <sheetFormatPr defaultRowHeight="15"/>
  <cols>
    <col min="2" max="2" width="26.42578125" bestFit="1" customWidth="1"/>
    <col min="3" max="3" width="9.7109375" bestFit="1" customWidth="1"/>
  </cols>
  <sheetData>
    <row r="1" spans="1:3" ht="18">
      <c r="A1" s="1" t="s">
        <v>0</v>
      </c>
    </row>
    <row r="4" spans="1:3">
      <c r="B4" t="s">
        <v>1</v>
      </c>
      <c r="C4" s="2">
        <v>500000</v>
      </c>
    </row>
    <row r="5" spans="1:3">
      <c r="B5" t="s">
        <v>2</v>
      </c>
      <c r="C5" s="2">
        <v>8000</v>
      </c>
    </row>
    <row r="6" spans="1:3">
      <c r="B6" t="s">
        <v>3</v>
      </c>
      <c r="C6">
        <v>1</v>
      </c>
    </row>
    <row r="9" spans="1:3">
      <c r="B9" t="s">
        <v>29</v>
      </c>
      <c r="C9" t="s">
        <v>31</v>
      </c>
    </row>
  </sheetData>
  <dataValidations count="1">
    <dataValidation type="list" allowBlank="1" showInputMessage="1" showErrorMessage="1" sqref="C9" xr:uid="{23D2B987-1582-4930-A566-CBB8B234A82B}">
      <formula1>"Baseline, Hire 2 Engineers, Double Marketing"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5D683-2A95-4C23-A230-62C6C6CFC975}">
  <dimension ref="A2:M14"/>
  <sheetViews>
    <sheetView topLeftCell="F1" workbookViewId="0">
      <selection activeCell="A12" sqref="A12:XFD12"/>
    </sheetView>
  </sheetViews>
  <sheetFormatPr defaultRowHeight="15"/>
  <cols>
    <col min="1" max="1" width="22.140625" bestFit="1" customWidth="1"/>
  </cols>
  <sheetData>
    <row r="2" spans="1:13">
      <c r="A2" s="3"/>
    </row>
    <row r="3" spans="1:13">
      <c r="A3" t="s">
        <v>4</v>
      </c>
      <c r="B3" t="s">
        <v>5</v>
      </c>
      <c r="C3" t="s">
        <v>6</v>
      </c>
      <c r="D3" t="s">
        <v>7</v>
      </c>
      <c r="E3" t="s">
        <v>8</v>
      </c>
      <c r="F3" t="s">
        <v>9</v>
      </c>
      <c r="G3" t="s">
        <v>10</v>
      </c>
      <c r="H3" t="s">
        <v>11</v>
      </c>
      <c r="I3" t="s">
        <v>12</v>
      </c>
      <c r="J3" t="s">
        <v>13</v>
      </c>
      <c r="K3" t="s">
        <v>14</v>
      </c>
      <c r="L3" t="s">
        <v>15</v>
      </c>
      <c r="M3" t="s">
        <v>16</v>
      </c>
    </row>
    <row r="4" spans="1:13">
      <c r="A4" t="s">
        <v>17</v>
      </c>
      <c r="B4">
        <f>'Driver Inputs'!C4</f>
        <v>500000</v>
      </c>
      <c r="C4">
        <f>B13</f>
        <v>480000</v>
      </c>
      <c r="D4">
        <f t="shared" ref="D4:M4" si="0">C13</f>
        <v>460000</v>
      </c>
      <c r="E4">
        <f t="shared" si="0"/>
        <v>440000</v>
      </c>
      <c r="F4">
        <f t="shared" si="0"/>
        <v>420000</v>
      </c>
      <c r="G4">
        <f t="shared" si="0"/>
        <v>400000</v>
      </c>
      <c r="H4">
        <f t="shared" si="0"/>
        <v>380000</v>
      </c>
      <c r="I4">
        <f t="shared" si="0"/>
        <v>360000</v>
      </c>
      <c r="J4">
        <f t="shared" si="0"/>
        <v>340000</v>
      </c>
      <c r="K4">
        <f t="shared" si="0"/>
        <v>320000</v>
      </c>
      <c r="L4">
        <f t="shared" si="0"/>
        <v>300000</v>
      </c>
      <c r="M4">
        <f t="shared" si="0"/>
        <v>280000</v>
      </c>
    </row>
    <row r="5" spans="1:13">
      <c r="A5" t="s">
        <v>18</v>
      </c>
      <c r="B5">
        <v>15000</v>
      </c>
      <c r="C5">
        <v>15000</v>
      </c>
      <c r="D5">
        <v>15000</v>
      </c>
      <c r="E5">
        <v>15000</v>
      </c>
      <c r="F5">
        <v>15000</v>
      </c>
      <c r="G5">
        <v>15000</v>
      </c>
      <c r="H5">
        <v>15000</v>
      </c>
      <c r="I5">
        <v>15000</v>
      </c>
      <c r="J5">
        <v>15000</v>
      </c>
      <c r="K5">
        <v>15000</v>
      </c>
      <c r="L5">
        <v>15000</v>
      </c>
      <c r="M5">
        <v>15000</v>
      </c>
    </row>
    <row r="6" spans="1:13">
      <c r="A6" t="s">
        <v>19</v>
      </c>
    </row>
    <row r="7" spans="1:13">
      <c r="A7" t="s">
        <v>20</v>
      </c>
      <c r="B7">
        <f>25000 + IF('Driver Inputs'!$B$9="Hire 2 Engineers", 2 * 'Driver Inputs'!$B$5, 0)</f>
        <v>25000</v>
      </c>
      <c r="C7">
        <f>25000 + IF('Driver Inputs'!$B$9="Hire 2 Engineers", 2 * 'Driver Inputs'!$B$5, 0)</f>
        <v>25000</v>
      </c>
      <c r="D7">
        <f>25000 + IF('Driver Inputs'!$B$9="Hire 2 Engineers", 2 * 'Driver Inputs'!$B$5, 0)</f>
        <v>25000</v>
      </c>
      <c r="E7">
        <f>25000 + IF('Driver Inputs'!$B$9="Hire 2 Engineers", 2 * 'Driver Inputs'!$B$5, 0)</f>
        <v>25000</v>
      </c>
      <c r="F7">
        <f>25000 + IF('Driver Inputs'!$B$9="Hire 2 Engineers", 2 * 'Driver Inputs'!$B$5, 0)</f>
        <v>25000</v>
      </c>
      <c r="G7">
        <f>25000 + IF('Driver Inputs'!$B$9="Hire 2 Engineers", 2 * 'Driver Inputs'!$B$5, 0)</f>
        <v>25000</v>
      </c>
      <c r="H7">
        <f>25000 + IF('Driver Inputs'!$B$9="Hire 2 Engineers", 2 * 'Driver Inputs'!$B$5, 0)</f>
        <v>25000</v>
      </c>
      <c r="I7">
        <f>25000 + IF('Driver Inputs'!$B$9="Hire 2 Engineers", 2 * 'Driver Inputs'!$B$5, 0)</f>
        <v>25000</v>
      </c>
      <c r="J7">
        <f>25000 + IF('Driver Inputs'!$B$9="Hire 2 Engineers", 2 * 'Driver Inputs'!$B$5, 0)</f>
        <v>25000</v>
      </c>
      <c r="K7">
        <f>25000 + IF('Driver Inputs'!$B$9="Hire 2 Engineers", 2 * 'Driver Inputs'!$B$5, 0)</f>
        <v>25000</v>
      </c>
      <c r="L7">
        <f>25000 + IF('Driver Inputs'!$B$9="Hire 2 Engineers", 2 * 'Driver Inputs'!$B$5, 0)</f>
        <v>25000</v>
      </c>
      <c r="M7">
        <f>25000 + IF('Driver Inputs'!$B$9="Hire 2 Engineers", 2 * 'Driver Inputs'!$B$5, 0)</f>
        <v>25000</v>
      </c>
    </row>
    <row r="8" spans="1:13">
      <c r="A8" t="s">
        <v>21</v>
      </c>
      <c r="B8">
        <f>5000 * IF('Driver Inputs'!$B$9="Double Marketing", 2, 1)</f>
        <v>5000</v>
      </c>
      <c r="C8">
        <f>5000 * IF('Driver Inputs'!$B$9="Double Marketing", 2, 1)</f>
        <v>5000</v>
      </c>
      <c r="D8">
        <f>5000 * IF('Driver Inputs'!$B$9="Double Marketing", 2, 1)</f>
        <v>5000</v>
      </c>
      <c r="E8">
        <f>5000 * IF('Driver Inputs'!$B$9="Double Marketing", 2, 1)</f>
        <v>5000</v>
      </c>
      <c r="F8">
        <f>5000 * IF('Driver Inputs'!$B$9="Double Marketing", 2, 1)</f>
        <v>5000</v>
      </c>
      <c r="G8">
        <f>5000 * IF('Driver Inputs'!$B$9="Double Marketing", 2, 1)</f>
        <v>5000</v>
      </c>
      <c r="H8">
        <f>5000 * IF('Driver Inputs'!$B$9="Double Marketing", 2, 1)</f>
        <v>5000</v>
      </c>
      <c r="I8">
        <f>5000 * IF('Driver Inputs'!$B$9="Double Marketing", 2, 1)</f>
        <v>5000</v>
      </c>
      <c r="J8">
        <f>5000 * IF('Driver Inputs'!$B$9="Double Marketing", 2, 1)</f>
        <v>5000</v>
      </c>
      <c r="K8">
        <f>5000 * IF('Driver Inputs'!$B$9="Double Marketing", 2, 1)</f>
        <v>5000</v>
      </c>
      <c r="L8">
        <f>5000 * IF('Driver Inputs'!$B$9="Double Marketing", 2, 1)</f>
        <v>5000</v>
      </c>
      <c r="M8">
        <f>5000 * IF('Driver Inputs'!$B$9="Double Marketing", 2, 1)</f>
        <v>5000</v>
      </c>
    </row>
    <row r="9" spans="1:13">
      <c r="A9" t="s">
        <v>22</v>
      </c>
      <c r="B9">
        <v>2000</v>
      </c>
      <c r="C9">
        <v>2000</v>
      </c>
      <c r="D9">
        <v>2000</v>
      </c>
      <c r="E9">
        <v>2000</v>
      </c>
      <c r="F9">
        <v>2000</v>
      </c>
      <c r="G9">
        <v>2000</v>
      </c>
      <c r="H9">
        <v>2000</v>
      </c>
      <c r="I9">
        <v>2000</v>
      </c>
      <c r="J9">
        <v>2000</v>
      </c>
      <c r="K9">
        <v>2000</v>
      </c>
      <c r="L9">
        <v>2000</v>
      </c>
      <c r="M9">
        <v>2000</v>
      </c>
    </row>
    <row r="10" spans="1:13">
      <c r="A10" t="s">
        <v>23</v>
      </c>
      <c r="B10">
        <v>3000</v>
      </c>
      <c r="C10">
        <v>3000</v>
      </c>
      <c r="D10">
        <v>3000</v>
      </c>
      <c r="E10">
        <v>3000</v>
      </c>
      <c r="F10">
        <v>3000</v>
      </c>
      <c r="G10">
        <v>3000</v>
      </c>
      <c r="H10">
        <v>3000</v>
      </c>
      <c r="I10">
        <v>3000</v>
      </c>
      <c r="J10">
        <v>3000</v>
      </c>
      <c r="K10">
        <v>3000</v>
      </c>
      <c r="L10">
        <v>3000</v>
      </c>
      <c r="M10">
        <v>3000</v>
      </c>
    </row>
    <row r="11" spans="1:13">
      <c r="A11" t="s">
        <v>24</v>
      </c>
      <c r="B11">
        <f>SUM(B7:B10)</f>
        <v>35000</v>
      </c>
      <c r="C11">
        <f>SUM(C7:C10)</f>
        <v>35000</v>
      </c>
      <c r="D11">
        <f t="shared" ref="D11:M11" si="1">SUM(D7:D10)</f>
        <v>35000</v>
      </c>
      <c r="E11">
        <f t="shared" si="1"/>
        <v>35000</v>
      </c>
      <c r="F11">
        <f t="shared" si="1"/>
        <v>35000</v>
      </c>
      <c r="G11">
        <f t="shared" si="1"/>
        <v>35000</v>
      </c>
      <c r="H11">
        <f t="shared" si="1"/>
        <v>35000</v>
      </c>
      <c r="I11">
        <f t="shared" si="1"/>
        <v>35000</v>
      </c>
      <c r="J11">
        <f t="shared" si="1"/>
        <v>35000</v>
      </c>
      <c r="K11">
        <f t="shared" si="1"/>
        <v>35000</v>
      </c>
      <c r="L11">
        <f t="shared" si="1"/>
        <v>35000</v>
      </c>
      <c r="M11">
        <f t="shared" si="1"/>
        <v>35000</v>
      </c>
    </row>
    <row r="12" spans="1:13">
      <c r="A12" t="s">
        <v>25</v>
      </c>
      <c r="B12">
        <f>B11-B5</f>
        <v>20000</v>
      </c>
      <c r="C12">
        <f>C11-C5</f>
        <v>20000</v>
      </c>
      <c r="D12">
        <f t="shared" ref="D12:M12" si="2">D11-D5</f>
        <v>20000</v>
      </c>
      <c r="E12">
        <f t="shared" si="2"/>
        <v>20000</v>
      </c>
      <c r="F12">
        <f t="shared" si="2"/>
        <v>20000</v>
      </c>
      <c r="G12">
        <f t="shared" si="2"/>
        <v>20000</v>
      </c>
      <c r="H12">
        <f t="shared" si="2"/>
        <v>20000</v>
      </c>
      <c r="I12">
        <f t="shared" si="2"/>
        <v>20000</v>
      </c>
      <c r="J12">
        <f t="shared" si="2"/>
        <v>20000</v>
      </c>
      <c r="K12">
        <f t="shared" si="2"/>
        <v>20000</v>
      </c>
      <c r="L12">
        <f t="shared" si="2"/>
        <v>20000</v>
      </c>
      <c r="M12">
        <f t="shared" si="2"/>
        <v>20000</v>
      </c>
    </row>
    <row r="13" spans="1:13">
      <c r="A13" t="s">
        <v>26</v>
      </c>
      <c r="B13">
        <f>B4-B12</f>
        <v>480000</v>
      </c>
      <c r="C13">
        <f>C4-C12</f>
        <v>460000</v>
      </c>
      <c r="D13">
        <f t="shared" ref="D13:M13" si="3">D4-D12</f>
        <v>440000</v>
      </c>
      <c r="E13">
        <f t="shared" si="3"/>
        <v>420000</v>
      </c>
      <c r="F13">
        <f t="shared" si="3"/>
        <v>400000</v>
      </c>
      <c r="G13">
        <f t="shared" si="3"/>
        <v>380000</v>
      </c>
      <c r="H13">
        <f t="shared" si="3"/>
        <v>360000</v>
      </c>
      <c r="I13">
        <f t="shared" si="3"/>
        <v>340000</v>
      </c>
      <c r="J13">
        <f t="shared" si="3"/>
        <v>320000</v>
      </c>
      <c r="K13">
        <f t="shared" si="3"/>
        <v>300000</v>
      </c>
      <c r="L13">
        <f t="shared" si="3"/>
        <v>280000</v>
      </c>
      <c r="M13">
        <f t="shared" si="3"/>
        <v>260000</v>
      </c>
    </row>
    <row r="14" spans="1:13">
      <c r="A14" t="s">
        <v>27</v>
      </c>
      <c r="B14">
        <f>IF(B12&lt;=0, 99, B4/B12)</f>
        <v>25</v>
      </c>
      <c r="C14">
        <f t="shared" ref="C14:M14" si="4">IF(C12&lt;=0, 99, C4/C12)</f>
        <v>24</v>
      </c>
      <c r="D14">
        <f t="shared" si="4"/>
        <v>23</v>
      </c>
      <c r="E14">
        <f t="shared" si="4"/>
        <v>22</v>
      </c>
      <c r="F14">
        <f t="shared" si="4"/>
        <v>21</v>
      </c>
      <c r="G14">
        <f t="shared" si="4"/>
        <v>20</v>
      </c>
      <c r="H14">
        <f t="shared" si="4"/>
        <v>19</v>
      </c>
      <c r="I14">
        <f t="shared" si="4"/>
        <v>18</v>
      </c>
      <c r="J14">
        <f t="shared" si="4"/>
        <v>17</v>
      </c>
      <c r="K14">
        <f t="shared" si="4"/>
        <v>16</v>
      </c>
      <c r="L14">
        <f t="shared" si="4"/>
        <v>15</v>
      </c>
      <c r="M14">
        <f t="shared" si="4"/>
        <v>14</v>
      </c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CC075-67BF-4956-BAED-03A8262142E9}">
  <dimension ref="A1:C24"/>
  <sheetViews>
    <sheetView showGridLines="0" topLeftCell="A6" workbookViewId="0">
      <selection activeCell="H20" sqref="H20"/>
    </sheetView>
  </sheetViews>
  <sheetFormatPr defaultRowHeight="15"/>
  <cols>
    <col min="1" max="2" width="27.85546875" bestFit="1" customWidth="1"/>
    <col min="3" max="3" width="46" bestFit="1" customWidth="1"/>
  </cols>
  <sheetData>
    <row r="1" spans="1:3" ht="23.25">
      <c r="C1" s="5" t="s">
        <v>32</v>
      </c>
    </row>
    <row r="2" spans="1:3" ht="21">
      <c r="B2" s="4"/>
    </row>
    <row r="3" spans="1:3">
      <c r="A3" s="6" t="s">
        <v>28</v>
      </c>
      <c r="B3" s="7">
        <f>'Financial Forecast'!B14</f>
        <v>25</v>
      </c>
    </row>
    <row r="5" spans="1:3">
      <c r="A5" s="8" t="s">
        <v>33</v>
      </c>
      <c r="B5" s="9">
        <v>500000</v>
      </c>
    </row>
    <row r="7" spans="1:3">
      <c r="A7" s="10" t="s">
        <v>34</v>
      </c>
      <c r="B7" s="11">
        <f>AVERAGE('Financial Forecast'!B12:M12)</f>
        <v>20000</v>
      </c>
    </row>
    <row r="24" spans="2:3">
      <c r="B24" t="s">
        <v>29</v>
      </c>
      <c r="C24" t="s">
        <v>30</v>
      </c>
    </row>
  </sheetData>
  <conditionalFormatting sqref="B3">
    <cfRule type="cellIs" dxfId="0" priority="1" operator="lessThan">
      <formula>6</formula>
    </cfRule>
  </conditionalFormatting>
  <dataValidations count="1">
    <dataValidation type="list" allowBlank="1" showInputMessage="1" showErrorMessage="1" sqref="C24" xr:uid="{6AF10AF5-B5CB-4FFC-B137-B0921F9E8BED}">
      <formula1>"Baseline, Hire 2 Engineers, Double Marketing"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Driver Inputs</vt:lpstr>
      <vt:lpstr>Financial Forecast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Sourabh Shrivastava</dc:creator>
  <cp:lastModifiedBy>KOUSHAKI SHRIVASTAVA</cp:lastModifiedBy>
  <dcterms:created xsi:type="dcterms:W3CDTF">2015-06-05T18:17:20Z</dcterms:created>
  <dcterms:modified xsi:type="dcterms:W3CDTF">2026-07-12T17:47:59Z</dcterms:modified>
</cp:coreProperties>
</file>